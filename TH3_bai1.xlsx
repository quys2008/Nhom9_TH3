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1_8F56564D1D92353BE3ED475B253B4864BE8E9EA9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Tổng hợp điểm" sheetId="1" r:id="rId1"/>
    <sheet name="Điểm thực hành các buổi" sheetId="2" r:id="rId2"/>
    <sheet name="Bài tập lớn" sheetId="3" r:id="rId3"/>
    <sheet name="Điểm lý thuyết" sheetId="4" r:id="rId4"/>
    <sheet name="Các bảng tham chiếu &amp; thống kê" sheetId="5" r:id="rId5"/>
    <sheet name="Sinh viên điểm &lt;7" sheetId="6" r:id="rId6"/>
    <sheet name="Sinh viên điểm &gt;=7" sheetId="7" r:id="rId7"/>
  </sheets>
  <definedNames>
    <definedName name="_xlnm.Extract" localSheetId="5">'Sinh viên điểm &lt;7'!$A$1:$K$1</definedName>
    <definedName name="_xlnm.Extract" localSheetId="6">'Sinh viên điểm &gt;=7'!$A$1:$K$1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5" l="1"/>
  <c r="P16" i="5"/>
  <c r="O25" i="5"/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7" i="1"/>
  <c r="G7" i="1"/>
  <c r="G8" i="1"/>
  <c r="G9" i="1"/>
  <c r="G10" i="1"/>
  <c r="G11" i="1"/>
  <c r="G12" i="1"/>
  <c r="G13" i="1"/>
  <c r="G14" i="1"/>
  <c r="J14" i="1" s="1"/>
  <c r="K14" i="1" s="1"/>
  <c r="G15" i="1"/>
  <c r="G16" i="1"/>
  <c r="G17" i="1"/>
  <c r="J17" i="1" s="1"/>
  <c r="K17" i="1" s="1"/>
  <c r="G18" i="1"/>
  <c r="G19" i="1"/>
  <c r="J19" i="1" s="1"/>
  <c r="K19" i="1" s="1"/>
  <c r="G20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7" i="1"/>
  <c r="C7" i="1"/>
  <c r="P13" i="5" l="1"/>
  <c r="I7" i="1" a="1"/>
  <c r="J7" i="1" l="1"/>
  <c r="J10" i="1"/>
  <c r="K10" i="1" s="1"/>
  <c r="J11" i="1"/>
  <c r="K11" i="1" s="1"/>
  <c r="J9" i="1"/>
  <c r="K9" i="1" s="1"/>
  <c r="J12" i="1"/>
  <c r="K12" i="1" s="1"/>
  <c r="J15" i="1"/>
  <c r="K15" i="1" s="1"/>
  <c r="J16" i="1"/>
  <c r="K16" i="1" s="1"/>
  <c r="J18" i="1"/>
  <c r="K18" i="1" s="1"/>
  <c r="J20" i="1"/>
  <c r="K20" i="1" s="1"/>
  <c r="J8" i="1"/>
  <c r="K8" i="1" s="1"/>
  <c r="J13" i="1"/>
  <c r="K13" i="1" s="1"/>
  <c r="P17" i="5" l="1"/>
  <c r="K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<sst xmlns="http://schemas.openxmlformats.org/spreadsheetml/2006/main" count="269" uniqueCount="94">
  <si>
    <t>ĐIỂM THI HKI-2018-2019 (CT428)</t>
  </si>
  <si>
    <t>Ma CB</t>
  </si>
  <si>
    <t>Ma MH</t>
  </si>
  <si>
    <t>Nam hoc</t>
  </si>
  <si>
    <t>CT428</t>
  </si>
  <si>
    <t>2020-2021</t>
  </si>
  <si>
    <t>1043</t>
  </si>
  <si>
    <t>Ho va ten</t>
  </si>
  <si>
    <t>Ma NH</t>
  </si>
  <si>
    <t>Hoc ky</t>
  </si>
  <si>
    <t>Nguyen Minh Trung</t>
  </si>
  <si>
    <t>STT</t>
  </si>
  <si>
    <t>Mã SV</t>
  </si>
  <si>
    <t>Họ và tên</t>
  </si>
  <si>
    <t>Điểm TH 2</t>
  </si>
  <si>
    <t>Điểm TH 1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</si>
  <si>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</si>
  <si>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</si>
  <si>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</si>
  <si>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</si>
  <si>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</si>
  <si>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</si>
  <si>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</si>
  <si>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</si>
  <si>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</si>
  <si>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</si>
  <si>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</si>
  <si>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</si>
  <si>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</si>
  <si>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</si>
  <si>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</si>
  <si>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</si>
  <si>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</si>
  <si>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</si>
  <si>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</si>
  <si>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</si>
  <si>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S
T
T</t>
  </si>
  <si>
    <t>Điểm thực hành các buổi</t>
  </si>
  <si>
    <t>B1505719</t>
  </si>
  <si>
    <t>B1505915</t>
  </si>
  <si>
    <t>B1509874</t>
  </si>
  <si>
    <t>B1509929</t>
  </si>
  <si>
    <t>B1605223</t>
  </si>
  <si>
    <t>B1605235</t>
  </si>
  <si>
    <t>B1605249</t>
  </si>
  <si>
    <t>B1605285</t>
  </si>
  <si>
    <t>B1605291</t>
  </si>
  <si>
    <t>B1605344</t>
  </si>
  <si>
    <t>B1607025</t>
  </si>
  <si>
    <t>B1609759</t>
  </si>
  <si>
    <t>B1609765</t>
  </si>
  <si>
    <t>B1609773</t>
  </si>
  <si>
    <t>Nguyễn Văn Hiếu</t>
  </si>
  <si>
    <t>Lý Minh Trí</t>
  </si>
  <si>
    <t>Nguyễn Kiều Mi</t>
  </si>
  <si>
    <t>Đặng Duy Linh</t>
  </si>
  <si>
    <t>Lê Thị Trúc Linh</t>
  </si>
  <si>
    <t>Phạm Thị Huỳnh</t>
  </si>
  <si>
    <t>Lê Minh Thông</t>
  </si>
  <si>
    <t>Huỳnh Thị Diễm</t>
  </si>
  <si>
    <t>Trần Thanh Nguyên</t>
  </si>
  <si>
    <t>Nguyễn Thị Đào</t>
  </si>
  <si>
    <t>Nguyễn Chí Thanh</t>
  </si>
  <si>
    <t>Nguyễn Hải Anh</t>
  </si>
  <si>
    <t>Trần Nam Dương</t>
  </si>
  <si>
    <t>Nguyễn Duy Khanh</t>
  </si>
  <si>
    <t>Điểm bài tập lớn</t>
  </si>
  <si>
    <t>Điểm BTL</t>
  </si>
  <si>
    <t>Điểm lý thuyết</t>
  </si>
  <si>
    <t>Bảng quy đổi điểm</t>
  </si>
  <si>
    <t>Điểm theo thang điểm10</t>
  </si>
  <si>
    <t>Điểm theo thang điểm 4</t>
  </si>
  <si>
    <t>Bảng Điểm Chuyên Cần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</si>
  <si>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</si>
  <si>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</si>
  <si>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</si>
  <si>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</si>
  <si>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</si>
  <si>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</si>
  <si>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</si>
  <si>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</si>
  <si>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</si>
  <si>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</si>
  <si>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&lt;7</t>
  </si>
  <si>
    <t>&gt;=7</t>
  </si>
  <si>
    <t>Danh sách sinh viên</t>
  </si>
  <si>
    <t>Bảng thống kê theo điểm chữ</t>
  </si>
  <si>
    <t>Số lượng sinh viên</t>
  </si>
  <si>
    <t>Bảng thống kế sinh viên</t>
  </si>
  <si>
    <t>Số sinh viên điểm BT
lớn = 0 hoặc điểm LT
= -3</t>
  </si>
  <si>
    <t>Số SV nghỉ TH &gt; 2</t>
  </si>
  <si>
    <t>Số SV có Điểm theo 
thang điểm 10 &gt;= 7 và có
 Điểm chữ là B+ hoặc A.</t>
  </si>
  <si>
    <t>TK SV</t>
  </si>
  <si>
    <t>TK 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</si>
</sst>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/>
    <xf numFmtId="0" fontId="1" fillId="4" borderId="1" xfId="0" applyFont="1" applyFill="1" applyBorder="1"/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Thống ke số lượng sinh viên </a:t>
            </a:r>
          </a:p>
          <a:p>
            <a:pPr>
              <a:defRPr/>
            </a:pPr>
            <a:r>
              <a:rPr lang="vi-VN"/>
              <a:t>theo điểm chữ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'Các bảng tham chiếu &amp; thống kê'!$P$2</c:f>
              <c:strCache>
                <c:ptCount val="1"/>
                <c:pt idx="0">
                  <c:v>Số lượng sinh viên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545-4DAB-97BC-78CEB63975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545-4DAB-97BC-78CEB63975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545-4DAB-97BC-78CEB63975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545-4DAB-97BC-78CEB63975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545-4DAB-97BC-78CEB63975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F545-4DAB-97BC-78CEB63975A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F545-4DAB-97BC-78CEB63975A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F545-4DAB-97BC-78CEB63975A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'Các bảng tham chiếu &amp; thống kê'!$O$3:$O$10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B+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kê'!$P$3:$P$10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9-4138-914D-D69CA37AF3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434340</xdr:colOff>
      <xdr:row>11</xdr:row>
      <xdr:rowOff>72390</xdr:rowOff>
    </xdr:from>
    <xdr:to>
      <xdr:col>7</xdr:col>
      <xdr:colOff>312420</xdr:colOff>
      <xdr:row>26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4B406D-D356-ED20-6496-75431C985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R8" sqref="R8"/>
    </sheetView>
  </sheetViews>
  <sheetFormatPr defaultRowHeight="14.5" x14ac:dyDescent="0.35"/>
  <cols>
    <col min="1" max="1" width="3.81640625" customWidth="1"/>
    <col min="2" max="2" width="13.7265625" customWidth="1"/>
    <col min="3" max="3" width="16.1796875" style="2" customWidth="1"/>
    <col min="4" max="6" width="9.26953125" bestFit="1" customWidth="1"/>
    <col min="7" max="7" width="10.7265625" bestFit="1" customWidth="1"/>
    <col min="8" max="8" width="7.54296875" bestFit="1" customWidth="1"/>
    <col min="9" max="9" width="6.26953125" customWidth="1"/>
    <col min="10" max="10" width="6.1796875" customWidth="1"/>
    <col min="11" max="11" width="5.26953125" bestFit="1" customWidth="1"/>
    <col min="12" max="12" width="8.81640625" customWidth="1"/>
  </cols>
  <sheetData>
    <row r="1" spans="1:18" x14ac:dyDescent="0.35">
      <c r="A1" s="7"/>
      <c r="B1" s="30" t="s">
        <v>0</v>
      </c>
      <c r="C1" s="30"/>
      <c r="D1" s="30"/>
      <c r="E1" s="30"/>
      <c r="F1" s="30"/>
      <c r="G1" s="30"/>
      <c r="H1" s="30"/>
      <c r="I1" s="7"/>
      <c r="J1" s="7"/>
      <c r="K1" s="7"/>
    </row>
    <row r="2" spans="1:18" x14ac:dyDescent="0.35">
      <c r="A2" s="7"/>
      <c r="B2" s="7" t="s">
        <v>1</v>
      </c>
      <c r="C2" s="8" t="s">
        <v>6</v>
      </c>
      <c r="D2" s="31" t="s">
        <v>7</v>
      </c>
      <c r="E2" s="31"/>
      <c r="F2" s="31" t="s">
        <v>10</v>
      </c>
      <c r="G2" s="31"/>
      <c r="H2" s="31"/>
      <c r="I2" s="7"/>
      <c r="J2" s="7"/>
      <c r="K2" s="7"/>
    </row>
    <row r="3" spans="1:18" x14ac:dyDescent="0.35">
      <c r="A3" s="7"/>
      <c r="B3" s="7" t="s">
        <v>2</v>
      </c>
      <c r="C3" s="9" t="s">
        <v>4</v>
      </c>
      <c r="D3" s="32" t="s">
        <v>8</v>
      </c>
      <c r="E3" s="32"/>
      <c r="F3" s="31">
        <v>8</v>
      </c>
      <c r="G3" s="31"/>
      <c r="H3" s="31"/>
      <c r="I3" s="7"/>
      <c r="J3" s="7"/>
      <c r="K3" s="7"/>
    </row>
    <row r="4" spans="1:18" x14ac:dyDescent="0.35">
      <c r="A4" s="7"/>
      <c r="B4" s="7" t="s">
        <v>3</v>
      </c>
      <c r="C4" s="9" t="s">
        <v>5</v>
      </c>
      <c r="D4" s="32" t="s">
        <v>9</v>
      </c>
      <c r="E4" s="32"/>
      <c r="F4" s="31">
        <v>1</v>
      </c>
      <c r="G4" s="31"/>
      <c r="H4" s="31"/>
      <c r="I4" s="7"/>
      <c r="J4" s="7"/>
      <c r="K4" s="7"/>
    </row>
    <row r="5" spans="1:18" x14ac:dyDescent="0.35">
      <c r="A5" s="7"/>
      <c r="B5" s="7"/>
      <c r="C5" s="10"/>
      <c r="D5" s="7"/>
      <c r="E5" s="7"/>
      <c r="F5" s="7"/>
      <c r="G5" s="7"/>
      <c r="H5" s="7"/>
      <c r="I5" s="7"/>
      <c r="J5" s="7"/>
      <c r="K5" s="7"/>
    </row>
    <row r="6" spans="1:18" ht="95.5" customHeight="1" x14ac:dyDescent="0.35">
      <c r="A6" s="4" t="s">
        <v>36</v>
      </c>
      <c r="B6" s="5" t="s">
        <v>12</v>
      </c>
      <c r="C6" s="5" t="s">
        <v>13</v>
      </c>
      <c r="D6" s="5" t="s">
        <v>15</v>
      </c>
      <c r="E6" s="5" t="s">
        <v>14</v>
      </c>
      <c r="F6" s="5" t="s">
        <v>16</v>
      </c>
      <c r="G6" s="5" t="s">
        <v>17</v>
      </c>
      <c r="H6" s="5" t="s">
        <v>18</v>
      </c>
      <c r="I6" s="4" t="s">
        <v>19</v>
      </c>
      <c r="J6" s="4" t="s">
        <v>20</v>
      </c>
      <c r="K6" s="4" t="s">
        <v>21</v>
      </c>
      <c r="L6" s="3"/>
      <c r="O6" s="4" t="s">
        <v>20</v>
      </c>
      <c r="Q6" s="4" t="s">
        <v>20</v>
      </c>
      <c r="R6" s="4" t="s">
        <v>21</v>
      </c>
    </row>
    <row r="7" spans="1:18" x14ac:dyDescent="0.35">
      <c r="A7" s="7">
        <v>1</v>
      </c>
      <c r="B7" s="7" t="s">
        <v>22</v>
      </c>
      <c r="C7" s="7" t="str">
        <f>VLOOKUP(RIGHT(B7, 8), 'Điểm thực hành các buổi'!$B$3:$C$16, 2, 0)</f>
        <v>Nguyễn Văn Hiếu</v>
      </c>
      <c r="D7" s="10">
        <f>VLOOKUP(RIGHT(B7, 8), 'Điểm thực hành các buổi'!$B$3:$F$16, 3, 0)</f>
        <v>0.45</v>
      </c>
      <c r="E7" s="10">
        <f>VLOOKUP(RIGHT(B7, 8), 'Điểm thực hành các buổi'!$B$3:$F$16, 4, 0)</f>
        <v>0.25</v>
      </c>
      <c r="F7" s="10">
        <f>VLOOKUP(RIGHT(B7, 8), 'Điểm thực hành các buổi'!$B$3:$F$16, 5, 0)</f>
        <v>0.3</v>
      </c>
      <c r="G7" s="16">
        <f>VLOOKUP(RIGHT(B7, 8), 'Bài tập lớn'!$B$3:$D$16, 3, 0)</f>
        <v>0.5</v>
      </c>
      <c r="H7" s="16">
        <f>VLOOKUP(RIGHT(B7, 8), 'Điểm lý thuyết'!$B$3:$D$16, 3, 0)</f>
        <v>4.2</v>
      </c>
      <c r="I7" s="7" cm="1">
        <f t="array" ref="I7:I20">IF(H7:H20=-3, 0, D7:D20 + E7:E20 + F7:F20 + G7:G20 + 0.6*H7:H20)</f>
        <v>4.0199999999999996</v>
      </c>
      <c r="J7" s="6">
        <f>IF(OR(G7=0, VALUE(LEFT(B7,1))&gt;2), 0, I7 + VLOOKUP(VALUE(LEFT(B7,1)), 'Các bảng tham chiếu &amp; thống kê'!$E$3:$F$5, 2, 0))</f>
        <v>5.0199999999999996</v>
      </c>
      <c r="K7" s="6" t="str">
        <f>VLOOKUP(J7, 'Các bảng tham chiếu &amp; thống kê'!$A$3:$C$10, 2, 1)</f>
        <v>D+</v>
      </c>
      <c r="O7" t="s">
        <v>83</v>
      </c>
      <c r="Q7" t="s">
        <v>84</v>
      </c>
      <c r="R7" t="s">
        <v>81</v>
      </c>
    </row>
    <row r="8" spans="1:18" x14ac:dyDescent="0.35">
      <c r="A8" s="7">
        <v>2</v>
      </c>
      <c r="B8" s="7" t="s">
        <v>23</v>
      </c>
      <c r="C8" s="7" t="str">
        <f>VLOOKUP(RIGHT(B8, 8), 'Điểm thực hành các buổi'!$B$3:$C$16, 2, 0)</f>
        <v>Lý Minh Trí</v>
      </c>
      <c r="D8" s="10">
        <f>VLOOKUP(RIGHT(B8, 8), 'Điểm thực hành các buổi'!$B$3:$F$16, 3, 0)</f>
        <v>0.5</v>
      </c>
      <c r="E8" s="10">
        <f>VLOOKUP(RIGHT(B8, 8), 'Điểm thực hành các buổi'!$B$3:$F$16, 4, 0)</f>
        <v>0.35</v>
      </c>
      <c r="F8" s="10">
        <f>VLOOKUP(RIGHT(B8, 8), 'Điểm thực hành các buổi'!$B$3:$F$16, 5, 0)</f>
        <v>0.4</v>
      </c>
      <c r="G8" s="16">
        <f>VLOOKUP(RIGHT(B8, 8), 'Bài tập lớn'!$B$3:$D$16, 3, 0)</f>
        <v>1</v>
      </c>
      <c r="H8" s="16">
        <f>VLOOKUP(RIGHT(B8, 8), 'Điểm lý thuyết'!$B$3:$D$16, 3, 0)</f>
        <v>5.8</v>
      </c>
      <c r="I8" s="7">
        <v>5.73</v>
      </c>
      <c r="J8" s="6">
        <f>IF(OR(G8=0, VALUE(LEFT(B8,1))&gt;2), 0, I8 + VLOOKUP(VALUE(LEFT(B8,1)), 'Các bảng tham chiếu &amp; thống kê'!$E$3:$F$5, 2, 0))</f>
        <v>6.23</v>
      </c>
      <c r="K8" s="6" t="str">
        <f>VLOOKUP(J8, 'Các bảng tham chiếu &amp; thống kê'!$A$3:$C$10, 2, 1)</f>
        <v>C</v>
      </c>
      <c r="Q8" t="s">
        <v>84</v>
      </c>
      <c r="R8" t="s">
        <v>82</v>
      </c>
    </row>
    <row r="9" spans="1:18" x14ac:dyDescent="0.35">
      <c r="A9" s="7">
        <v>3</v>
      </c>
      <c r="B9" s="7" t="s">
        <v>24</v>
      </c>
      <c r="C9" s="7" t="str">
        <f>VLOOKUP(RIGHT(B9, 8), 'Điểm thực hành các buổi'!$B$3:$C$16, 2, 0)</f>
        <v>Nguyễn Kiều Mi</v>
      </c>
      <c r="D9" s="10">
        <f>VLOOKUP(RIGHT(B9, 8), 'Điểm thực hành các buổi'!$B$3:$F$16, 3, 0)</f>
        <v>0.25</v>
      </c>
      <c r="E9" s="10">
        <f>VLOOKUP(RIGHT(B9, 8), 'Điểm thực hành các buổi'!$B$3:$F$16, 4, 0)</f>
        <v>0.25</v>
      </c>
      <c r="F9" s="10">
        <f>VLOOKUP(RIGHT(B9, 8), 'Điểm thực hành các buổi'!$B$3:$F$16, 5, 0)</f>
        <v>0.3</v>
      </c>
      <c r="G9" s="16">
        <f>VLOOKUP(RIGHT(B9, 8), 'Bài tập lớn'!$B$3:$D$16, 3, 0)</f>
        <v>0.5</v>
      </c>
      <c r="H9" s="16">
        <f>VLOOKUP(RIGHT(B9, 8), 'Điểm lý thuyết'!$B$3:$D$16, 3, 0)</f>
        <v>5.8</v>
      </c>
      <c r="I9" s="7">
        <v>4.78</v>
      </c>
      <c r="J9" s="6">
        <f>IF(OR(G9=0, VALUE(LEFT(B9,1))&gt;2), 0, I9 + VLOOKUP(VALUE(LEFT(B9,1)), 'Các bảng tham chiếu &amp; thống kê'!$E$3:$F$5, 2, 0))</f>
        <v>5.78</v>
      </c>
      <c r="K9" s="6" t="str">
        <f>VLOOKUP(J9, 'Các bảng tham chiếu &amp; thống kê'!$A$3:$C$10, 2, 1)</f>
        <v>C</v>
      </c>
    </row>
    <row r="10" spans="1:18" x14ac:dyDescent="0.35">
      <c r="A10" s="7">
        <v>4</v>
      </c>
      <c r="B10" s="7" t="s">
        <v>25</v>
      </c>
      <c r="C10" s="7" t="str">
        <f>VLOOKUP(RIGHT(B10, 8), 'Điểm thực hành các buổi'!$B$3:$C$16, 2, 0)</f>
        <v>Đặng Duy Linh</v>
      </c>
      <c r="D10" s="10">
        <f>VLOOKUP(RIGHT(B10, 8), 'Điểm thực hành các buổi'!$B$3:$F$16, 3, 0)</f>
        <v>0.4</v>
      </c>
      <c r="E10" s="10">
        <f>VLOOKUP(RIGHT(B10, 8), 'Điểm thực hành các buổi'!$B$3:$F$16, 4, 0)</f>
        <v>0.25</v>
      </c>
      <c r="F10" s="10">
        <f>VLOOKUP(RIGHT(B10, 8), 'Điểm thực hành các buổi'!$B$3:$F$16, 5, 0)</f>
        <v>0.35</v>
      </c>
      <c r="G10" s="16">
        <f>VLOOKUP(RIGHT(B10, 8), 'Bài tập lớn'!$B$3:$D$16, 3, 0)</f>
        <v>1</v>
      </c>
      <c r="H10" s="16">
        <f>VLOOKUP(RIGHT(B10, 8), 'Điểm lý thuyết'!$B$3:$D$16, 3, 0)</f>
        <v>4.5</v>
      </c>
      <c r="I10" s="7">
        <v>4.6999999999999993</v>
      </c>
      <c r="J10" s="6">
        <f>IF(OR(G10=0, VALUE(LEFT(B10,1))&gt;2), 0, I10 + VLOOKUP(VALUE(LEFT(B10,1)), 'Các bảng tham chiếu &amp; thống kê'!$E$3:$F$5, 2, 0))</f>
        <v>5.6999999999999993</v>
      </c>
      <c r="K10" s="6" t="str">
        <f>VLOOKUP(J10, 'Các bảng tham chiếu &amp; thống kê'!$A$3:$C$10, 2, 1)</f>
        <v>C</v>
      </c>
    </row>
    <row r="11" spans="1:18" x14ac:dyDescent="0.35">
      <c r="A11" s="7">
        <v>5</v>
      </c>
      <c r="B11" s="7" t="s">
        <v>26</v>
      </c>
      <c r="C11" s="7" t="str">
        <f>VLOOKUP(RIGHT(B11, 8), 'Điểm thực hành các buổi'!$B$3:$C$16, 2, 0)</f>
        <v>Lê Thị Trúc Linh</v>
      </c>
      <c r="D11" s="10">
        <f>VLOOKUP(RIGHT(B11, 8), 'Điểm thực hành các buổi'!$B$3:$F$16, 3, 0)</f>
        <v>0.45</v>
      </c>
      <c r="E11" s="10">
        <f>VLOOKUP(RIGHT(B11, 8), 'Điểm thực hành các buổi'!$B$3:$F$16, 4, 0)</f>
        <v>0.4</v>
      </c>
      <c r="F11" s="10">
        <f>VLOOKUP(RIGHT(B11, 8), 'Điểm thực hành các buổi'!$B$3:$F$16, 5, 0)</f>
        <v>0.35</v>
      </c>
      <c r="G11" s="16">
        <f>VLOOKUP(RIGHT(B11, 8), 'Bài tập lớn'!$B$3:$D$16, 3, 0)</f>
        <v>0.75</v>
      </c>
      <c r="H11" s="16">
        <f>VLOOKUP(RIGHT(B11, 8), 'Điểm lý thuyết'!$B$3:$D$16, 3, 0)</f>
        <v>5.5</v>
      </c>
      <c r="I11" s="7">
        <v>5.25</v>
      </c>
      <c r="J11" s="6">
        <f>IF(OR(G11=0, VALUE(LEFT(B11,1))&gt;2), 0, I11 + VLOOKUP(VALUE(LEFT(B11,1)), 'Các bảng tham chiếu &amp; thống kê'!$E$3:$F$5, 2, 0))</f>
        <v>5.5</v>
      </c>
      <c r="K11" s="6" t="str">
        <f>VLOOKUP(J11, 'Các bảng tham chiếu &amp; thống kê'!$A$3:$C$10, 2, 1)</f>
        <v>C</v>
      </c>
    </row>
    <row r="12" spans="1:18" x14ac:dyDescent="0.35">
      <c r="A12" s="7">
        <v>6</v>
      </c>
      <c r="B12" s="7" t="s">
        <v>27</v>
      </c>
      <c r="C12" s="7" t="str">
        <f>VLOOKUP(RIGHT(B12, 8), 'Điểm thực hành các buổi'!$B$3:$C$16, 2, 0)</f>
        <v>Phạm Thị Huỳnh</v>
      </c>
      <c r="D12" s="10">
        <f>VLOOKUP(RIGHT(B12, 8), 'Điểm thực hành các buổi'!$B$3:$F$16, 3, 0)</f>
        <v>0.4</v>
      </c>
      <c r="E12" s="10">
        <f>VLOOKUP(RIGHT(B12, 8), 'Điểm thực hành các buổi'!$B$3:$F$16, 4, 0)</f>
        <v>0.45</v>
      </c>
      <c r="F12" s="10">
        <f>VLOOKUP(RIGHT(B12, 8), 'Điểm thực hành các buổi'!$B$3:$F$16, 5, 0)</f>
        <v>0.5</v>
      </c>
      <c r="G12" s="16">
        <f>VLOOKUP(RIGHT(B12, 8), 'Bài tập lớn'!$B$3:$D$16, 3, 0)</f>
        <v>1.2</v>
      </c>
      <c r="H12" s="16">
        <f>VLOOKUP(RIGHT(B12, 8), 'Điểm lý thuyết'!$B$3:$D$16, 3, 0)</f>
        <v>7.5</v>
      </c>
      <c r="I12" s="7">
        <v>7.05</v>
      </c>
      <c r="J12" s="6">
        <f>IF(OR(G12=0, VALUE(LEFT(B12,1))&gt;2), 0, I12 + VLOOKUP(VALUE(LEFT(B12,1)), 'Các bảng tham chiếu &amp; thống kê'!$E$3:$F$5, 2, 0))</f>
        <v>8.0500000000000007</v>
      </c>
      <c r="K12" s="6" t="str">
        <f>VLOOKUP(J12, 'Các bảng tham chiếu &amp; thống kê'!$A$3:$C$10, 2, 1)</f>
        <v>B+</v>
      </c>
    </row>
    <row r="13" spans="1:18" x14ac:dyDescent="0.35">
      <c r="A13" s="7">
        <v>7</v>
      </c>
      <c r="B13" s="7" t="s">
        <v>28</v>
      </c>
      <c r="C13" s="7" t="str">
        <f>VLOOKUP(RIGHT(B13, 8), 'Điểm thực hành các buổi'!$B$3:$C$16, 2, 0)</f>
        <v>Lê Minh Thông</v>
      </c>
      <c r="D13" s="10">
        <f>VLOOKUP(RIGHT(B13, 8), 'Điểm thực hành các buổi'!$B$3:$F$16, 3, 0)</f>
        <v>0.4</v>
      </c>
      <c r="E13" s="10">
        <f>VLOOKUP(RIGHT(B13, 8), 'Điểm thực hành các buổi'!$B$3:$F$16, 4, 0)</f>
        <v>0.4</v>
      </c>
      <c r="F13" s="10">
        <f>VLOOKUP(RIGHT(B13, 8), 'Điểm thực hành các buổi'!$B$3:$F$16, 5, 0)</f>
        <v>0.4</v>
      </c>
      <c r="G13" s="16">
        <f>VLOOKUP(RIGHT(B13, 8), 'Bài tập lớn'!$B$3:$D$16, 3, 0)</f>
        <v>1</v>
      </c>
      <c r="H13" s="16">
        <f>VLOOKUP(RIGHT(B13, 8), 'Điểm lý thuyết'!$B$3:$D$16, 3, 0)</f>
        <v>5.3</v>
      </c>
      <c r="I13" s="7">
        <v>5.38</v>
      </c>
      <c r="J13" s="6">
        <f>IF(OR(G13=0, VALUE(LEFT(B13,1))&gt;2), 0, I13 + VLOOKUP(VALUE(LEFT(B13,1)), 'Các bảng tham chiếu &amp; thống kê'!$E$3:$F$5, 2, 0))</f>
        <v>6.38</v>
      </c>
      <c r="K13" s="6" t="str">
        <f>VLOOKUP(J13, 'Các bảng tham chiếu &amp; thống kê'!$A$3:$C$10, 2, 1)</f>
        <v>C</v>
      </c>
    </row>
    <row r="14" spans="1:18" x14ac:dyDescent="0.35">
      <c r="A14" s="7">
        <v>8</v>
      </c>
      <c r="B14" s="7" t="s">
        <v>29</v>
      </c>
      <c r="C14" s="7" t="str">
        <f>VLOOKUP(RIGHT(B14, 8), 'Điểm thực hành các buổi'!$B$3:$C$16, 2, 0)</f>
        <v>Huỳnh Thị Diễm</v>
      </c>
      <c r="D14" s="10">
        <f>VLOOKUP(RIGHT(B14, 8), 'Điểm thực hành các buổi'!$B$3:$F$16, 3, 0)</f>
        <v>0.45</v>
      </c>
      <c r="E14" s="10">
        <f>VLOOKUP(RIGHT(B14, 8), 'Điểm thực hành các buổi'!$B$3:$F$16, 4, 0)</f>
        <v>0.4</v>
      </c>
      <c r="F14" s="10">
        <f>VLOOKUP(RIGHT(B14, 8), 'Điểm thực hành các buổi'!$B$3:$F$16, 5, 0)</f>
        <v>0.45</v>
      </c>
      <c r="G14" s="16">
        <f>VLOOKUP(RIGHT(B14, 8), 'Bài tập lớn'!$B$3:$D$16, 3, 0)</f>
        <v>0</v>
      </c>
      <c r="H14" s="16">
        <f>VLOOKUP(RIGHT(B14, 8), 'Điểm lý thuyết'!$B$3:$D$16, 3, 0)</f>
        <v>6.8</v>
      </c>
      <c r="I14" s="7">
        <v>5.38</v>
      </c>
      <c r="J14" s="6">
        <f>IF(OR(G14=0, VALUE(LEFT(B14,1))&gt;2), 0, I14 + VLOOKUP(VALUE(LEFT(B14,1)), 'Các bảng tham chiếu &amp; thống kê'!$E$3:$F$5, 2, 0))</f>
        <v>0</v>
      </c>
      <c r="K14" s="6" t="str">
        <f>VLOOKUP(J14, 'Các bảng tham chiếu &amp; thống kê'!$A$3:$C$10, 2, 1)</f>
        <v>F</v>
      </c>
    </row>
    <row r="15" spans="1:18" x14ac:dyDescent="0.35">
      <c r="A15" s="7">
        <v>9</v>
      </c>
      <c r="B15" s="7" t="s">
        <v>30</v>
      </c>
      <c r="C15" s="7" t="str">
        <f>VLOOKUP(RIGHT(B15, 8), 'Điểm thực hành các buổi'!$B$3:$C$16, 2, 0)</f>
        <v>Trần Thanh Nguyên</v>
      </c>
      <c r="D15" s="10">
        <f>VLOOKUP(RIGHT(B15, 8), 'Điểm thực hành các buổi'!$B$3:$F$16, 3, 0)</f>
        <v>0.45</v>
      </c>
      <c r="E15" s="10">
        <f>VLOOKUP(RIGHT(B15, 8), 'Điểm thực hành các buổi'!$B$3:$F$16, 4, 0)</f>
        <v>0.4</v>
      </c>
      <c r="F15" s="10">
        <f>VLOOKUP(RIGHT(B15, 8), 'Điểm thực hành các buổi'!$B$3:$F$16, 5, 0)</f>
        <v>0.4</v>
      </c>
      <c r="G15" s="16">
        <f>VLOOKUP(RIGHT(B15, 8), 'Bài tập lớn'!$B$3:$D$16, 3, 0)</f>
        <v>0.75</v>
      </c>
      <c r="H15" s="16">
        <f>VLOOKUP(RIGHT(B15, 8), 'Điểm lý thuyết'!$B$3:$D$16, 3, 0)</f>
        <v>6.3</v>
      </c>
      <c r="I15" s="7">
        <v>5.7799999999999994</v>
      </c>
      <c r="J15" s="6">
        <f>IF(OR(G15=0, VALUE(LEFT(B15,1))&gt;2), 0, I15 + VLOOKUP(VALUE(LEFT(B15,1)), 'Các bảng tham chiếu &amp; thống kê'!$E$3:$F$5, 2, 0))</f>
        <v>6.7799999999999994</v>
      </c>
      <c r="K15" s="6" t="str">
        <f>VLOOKUP(J15, 'Các bảng tham chiếu &amp; thống kê'!$A$3:$C$10, 2, 1)</f>
        <v>C+</v>
      </c>
    </row>
    <row r="16" spans="1:18" x14ac:dyDescent="0.35">
      <c r="A16" s="7">
        <v>10</v>
      </c>
      <c r="B16" s="7" t="s">
        <v>31</v>
      </c>
      <c r="C16" s="7" t="str">
        <f>VLOOKUP(RIGHT(B16, 8), 'Điểm thực hành các buổi'!$B$3:$C$16, 2, 0)</f>
        <v>Nguyễn Thị Đào</v>
      </c>
      <c r="D16" s="10">
        <f>VLOOKUP(RIGHT(B16, 8), 'Điểm thực hành các buổi'!$B$3:$F$16, 3, 0)</f>
        <v>0.3</v>
      </c>
      <c r="E16" s="10">
        <f>VLOOKUP(RIGHT(B16, 8), 'Điểm thực hành các buổi'!$B$3:$F$16, 4, 0)</f>
        <v>0.5</v>
      </c>
      <c r="F16" s="10">
        <f>VLOOKUP(RIGHT(B16, 8), 'Điểm thực hành các buổi'!$B$3:$F$16, 5, 0)</f>
        <v>0.45</v>
      </c>
      <c r="G16" s="16">
        <f>VLOOKUP(RIGHT(B16, 8), 'Bài tập lớn'!$B$3:$D$16, 3, 0)</f>
        <v>0.3</v>
      </c>
      <c r="H16" s="16">
        <f>VLOOKUP(RIGHT(B16, 8), 'Điểm lý thuyết'!$B$3:$D$16, 3, 0)</f>
        <v>8.3000000000000007</v>
      </c>
      <c r="I16" s="7">
        <v>6.53</v>
      </c>
      <c r="J16" s="6">
        <f>IF(OR(G16=0, VALUE(LEFT(B16,1))&gt;2), 0, I16 + VLOOKUP(VALUE(LEFT(B16,1)), 'Các bảng tham chiếu &amp; thống kê'!$E$3:$F$5, 2, 0))</f>
        <v>7.03</v>
      </c>
      <c r="K16" s="6" t="str">
        <f>VLOOKUP(J16, 'Các bảng tham chiếu &amp; thống kê'!$A$3:$C$10, 2, 1)</f>
        <v>B</v>
      </c>
    </row>
    <row r="17" spans="1:11" x14ac:dyDescent="0.35">
      <c r="A17" s="7">
        <v>11</v>
      </c>
      <c r="B17" s="7" t="s">
        <v>32</v>
      </c>
      <c r="C17" s="7" t="str">
        <f>VLOOKUP(RIGHT(B17, 8), 'Điểm thực hành các buổi'!$B$3:$C$16, 2, 0)</f>
        <v>Nguyễn Chí Thanh</v>
      </c>
      <c r="D17" s="10">
        <f>VLOOKUP(RIGHT(B17, 8), 'Điểm thực hành các buổi'!$B$3:$F$16, 3, 0)</f>
        <v>0.4</v>
      </c>
      <c r="E17" s="10">
        <f>VLOOKUP(RIGHT(B17, 8), 'Điểm thực hành các buổi'!$B$3:$F$16, 4, 0)</f>
        <v>0.45</v>
      </c>
      <c r="F17" s="10">
        <f>VLOOKUP(RIGHT(B17, 8), 'Điểm thực hành các buổi'!$B$3:$F$16, 5, 0)</f>
        <v>0.4</v>
      </c>
      <c r="G17" s="16">
        <f>VLOOKUP(RIGHT(B17, 8), 'Bài tập lớn'!$B$3:$D$16, 3, 0)</f>
        <v>0.3</v>
      </c>
      <c r="H17" s="16">
        <f>VLOOKUP(RIGHT(B17, 8), 'Điểm lý thuyết'!$B$3:$D$16, 3, 0)</f>
        <v>-3</v>
      </c>
      <c r="I17" s="7">
        <v>0</v>
      </c>
      <c r="J17" s="6">
        <f>IF(OR(G17=0, VALUE(LEFT(B17,1))&gt;2), 0, I17 + VLOOKUP(VALUE(LEFT(B17,1)), 'Các bảng tham chiếu &amp; thống kê'!$E$3:$F$5, 2, 0))</f>
        <v>0</v>
      </c>
      <c r="K17" s="6" t="str">
        <f>VLOOKUP(J17, 'Các bảng tham chiếu &amp; thống kê'!$A$3:$C$10, 2, 1)</f>
        <v>F</v>
      </c>
    </row>
    <row r="18" spans="1:11" x14ac:dyDescent="0.35">
      <c r="A18" s="7">
        <v>12</v>
      </c>
      <c r="B18" s="7" t="s">
        <v>33</v>
      </c>
      <c r="C18" s="7" t="str">
        <f>VLOOKUP(RIGHT(B18, 8), 'Điểm thực hành các buổi'!$B$3:$C$16, 2, 0)</f>
        <v>Nguyễn Hải Anh</v>
      </c>
      <c r="D18" s="10">
        <f>VLOOKUP(RIGHT(B18, 8), 'Điểm thực hành các buổi'!$B$3:$F$16, 3, 0)</f>
        <v>0.5</v>
      </c>
      <c r="E18" s="10">
        <f>VLOOKUP(RIGHT(B18, 8), 'Điểm thực hành các buổi'!$B$3:$F$16, 4, 0)</f>
        <v>0.5</v>
      </c>
      <c r="F18" s="10">
        <f>VLOOKUP(RIGHT(B18, 8), 'Điểm thực hành các buổi'!$B$3:$F$16, 5, 0)</f>
        <v>0.45</v>
      </c>
      <c r="G18" s="16">
        <f>VLOOKUP(RIGHT(B18, 8), 'Bài tập lớn'!$B$3:$D$16, 3, 0)</f>
        <v>1.5</v>
      </c>
      <c r="H18" s="16">
        <f>VLOOKUP(RIGHT(B18, 8), 'Điểm lý thuyết'!$B$3:$D$16, 3, 0)</f>
        <v>7</v>
      </c>
      <c r="I18" s="7">
        <v>7.15</v>
      </c>
      <c r="J18" s="6">
        <f>IF(OR(G18=0, VALUE(LEFT(B18,1))&gt;2), 0, I18 + VLOOKUP(VALUE(LEFT(B18,1)), 'Các bảng tham chiếu &amp; thống kê'!$E$3:$F$5, 2, 0))</f>
        <v>7.4</v>
      </c>
      <c r="K18" s="6" t="str">
        <f>VLOOKUP(J18, 'Các bảng tham chiếu &amp; thống kê'!$A$3:$C$10, 2, 1)</f>
        <v>B</v>
      </c>
    </row>
    <row r="19" spans="1:11" x14ac:dyDescent="0.35">
      <c r="A19" s="7">
        <v>13</v>
      </c>
      <c r="B19" s="7" t="s">
        <v>34</v>
      </c>
      <c r="C19" s="7" t="str">
        <f>VLOOKUP(RIGHT(B19, 8), 'Điểm thực hành các buổi'!$B$3:$C$16, 2, 0)</f>
        <v>Trần Nam Dương</v>
      </c>
      <c r="D19" s="10">
        <f>VLOOKUP(RIGHT(B19, 8), 'Điểm thực hành các buổi'!$B$3:$F$16, 3, 0)</f>
        <v>0.4</v>
      </c>
      <c r="E19" s="10">
        <f>VLOOKUP(RIGHT(B19, 8), 'Điểm thực hành các buổi'!$B$3:$F$16, 4, 0)</f>
        <v>0.4</v>
      </c>
      <c r="F19" s="10">
        <f>VLOOKUP(RIGHT(B19, 8), 'Điểm thực hành các buổi'!$B$3:$F$16, 5, 0)</f>
        <v>0.35</v>
      </c>
      <c r="G19" s="16">
        <f>VLOOKUP(RIGHT(B19, 8), 'Bài tập lớn'!$B$3:$D$16, 3, 0)</f>
        <v>1.35</v>
      </c>
      <c r="H19" s="16">
        <f>VLOOKUP(RIGHT(B19, 8), 'Điểm lý thuyết'!$B$3:$D$16, 3, 0)</f>
        <v>-3</v>
      </c>
      <c r="I19" s="7">
        <v>0</v>
      </c>
      <c r="J19" s="6">
        <f>IF(OR(G19=0, VALUE(LEFT(B19,1))&gt;2), 0, I19 + VLOOKUP(VALUE(LEFT(B19,1)), 'Các bảng tham chiếu &amp; thống kê'!$E$3:$F$5, 2, 0))</f>
        <v>0</v>
      </c>
      <c r="K19" s="6" t="str">
        <f>VLOOKUP(J19, 'Các bảng tham chiếu &amp; thống kê'!$A$3:$C$10, 2, 1)</f>
        <v>F</v>
      </c>
    </row>
    <row r="20" spans="1:11" x14ac:dyDescent="0.35">
      <c r="A20" s="7">
        <v>14</v>
      </c>
      <c r="B20" s="7" t="s">
        <v>35</v>
      </c>
      <c r="C20" s="7" t="str">
        <f>VLOOKUP(RIGHT(B20, 8), 'Điểm thực hành các buổi'!$B$3:$C$16, 2, 0)</f>
        <v>Nguyễn Duy Khanh</v>
      </c>
      <c r="D20" s="10">
        <f>VLOOKUP(RIGHT(B20, 8), 'Điểm thực hành các buổi'!$B$3:$F$16, 3, 0)</f>
        <v>0.35</v>
      </c>
      <c r="E20" s="10">
        <f>VLOOKUP(RIGHT(B20, 8), 'Điểm thực hành các buổi'!$B$3:$F$16, 4, 0)</f>
        <v>0.4</v>
      </c>
      <c r="F20" s="10">
        <f>VLOOKUP(RIGHT(B20, 8), 'Điểm thực hành các buổi'!$B$3:$F$16, 5, 0)</f>
        <v>0</v>
      </c>
      <c r="G20" s="16">
        <f>VLOOKUP(RIGHT(B20, 8), 'Bài tập lớn'!$B$3:$D$16, 3, 0)</f>
        <v>0.85</v>
      </c>
      <c r="H20" s="16">
        <f>VLOOKUP(RIGHT(B20, 8), 'Điểm lý thuyết'!$B$3:$D$16, 3, 0)</f>
        <v>6.5</v>
      </c>
      <c r="I20" s="7">
        <v>5.5</v>
      </c>
      <c r="J20" s="6">
        <f>IF(OR(G20=0, VALUE(LEFT(B20,1))&gt;2), 0, I20 + VLOOKUP(VALUE(LEFT(B20,1)), 'Các bảng tham chiếu &amp; thống kê'!$E$3:$F$5, 2, 0))</f>
        <v>6.5</v>
      </c>
      <c r="K20" s="6" t="str">
        <f>VLOOKUP(J20, 'Các bảng tham chiếu &amp; thống kê'!$A$3:$C$10, 2, 1)</f>
        <v>C+</v>
      </c>
    </row>
  </sheetData>
  <mergeCells count="7">
    <mergeCell ref="B1:H1"/>
    <mergeCell ref="D2:E2"/>
    <mergeCell ref="F2:H2"/>
    <mergeCell ref="D3:E3"/>
    <mergeCell ref="D4:E4"/>
    <mergeCell ref="F3:H3"/>
    <mergeCell ref="F4:H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abSelected="1" workbookViewId="0">
      <selection activeCell="K17" sqref="K17"/>
    </sheetView>
  </sheetViews>
  <sheetFormatPr defaultRowHeight="14.5" x14ac:dyDescent="0.35"/>
  <cols>
    <col min="2" max="2" width="9.7265625" customWidth="1"/>
    <col min="3" max="3" width="18" customWidth="1"/>
    <col min="4" max="4" width="10.1796875" customWidth="1"/>
    <col min="5" max="5" width="10.26953125" customWidth="1"/>
    <col min="6" max="6" width="10" customWidth="1"/>
  </cols>
  <sheetData>
    <row r="1" spans="1:6" x14ac:dyDescent="0.35">
      <c r="A1" s="33" t="s">
        <v>37</v>
      </c>
      <c r="B1" s="33"/>
      <c r="C1" s="33"/>
      <c r="D1" s="33"/>
      <c r="E1" s="33"/>
      <c r="F1" s="33"/>
    </row>
    <row r="2" spans="1:6" x14ac:dyDescent="0.35">
      <c r="A2" s="14" t="s">
        <v>11</v>
      </c>
      <c r="B2" s="14" t="s">
        <v>12</v>
      </c>
      <c r="C2" s="14" t="s">
        <v>13</v>
      </c>
      <c r="D2" s="14" t="s">
        <v>15</v>
      </c>
      <c r="E2" s="14" t="s">
        <v>14</v>
      </c>
      <c r="F2" s="14" t="s">
        <v>16</v>
      </c>
    </row>
    <row r="3" spans="1:6" x14ac:dyDescent="0.35">
      <c r="A3" s="13">
        <v>1</v>
      </c>
      <c r="B3" s="7" t="s">
        <v>38</v>
      </c>
      <c r="C3" s="7" t="s">
        <v>52</v>
      </c>
      <c r="D3" s="10">
        <v>0.45</v>
      </c>
      <c r="E3" s="10">
        <v>0.25</v>
      </c>
      <c r="F3" s="10">
        <v>0.3</v>
      </c>
    </row>
    <row r="4" spans="1:6" x14ac:dyDescent="0.35">
      <c r="A4" s="13">
        <v>2</v>
      </c>
      <c r="B4" s="7" t="s">
        <v>39</v>
      </c>
      <c r="C4" s="7" t="s">
        <v>53</v>
      </c>
      <c r="D4" s="10">
        <v>0.5</v>
      </c>
      <c r="E4" s="10">
        <v>0.35</v>
      </c>
      <c r="F4" s="10">
        <v>0.4</v>
      </c>
    </row>
    <row r="5" spans="1:6" x14ac:dyDescent="0.35">
      <c r="A5" s="13">
        <v>3</v>
      </c>
      <c r="B5" s="7" t="s">
        <v>40</v>
      </c>
      <c r="C5" s="7" t="s">
        <v>54</v>
      </c>
      <c r="D5" s="10">
        <v>0.25</v>
      </c>
      <c r="E5" s="10">
        <v>0.25</v>
      </c>
      <c r="F5" s="10">
        <v>0.3</v>
      </c>
    </row>
    <row r="6" spans="1:6" x14ac:dyDescent="0.35">
      <c r="A6" s="13">
        <v>4</v>
      </c>
      <c r="B6" s="7" t="s">
        <v>41</v>
      </c>
      <c r="C6" s="7" t="s">
        <v>55</v>
      </c>
      <c r="D6" s="10">
        <v>0.4</v>
      </c>
      <c r="E6" s="10">
        <v>0.25</v>
      </c>
      <c r="F6" s="10">
        <v>0.35</v>
      </c>
    </row>
    <row r="7" spans="1:6" x14ac:dyDescent="0.35">
      <c r="A7" s="13">
        <v>5</v>
      </c>
      <c r="B7" s="7" t="s">
        <v>42</v>
      </c>
      <c r="C7" s="7" t="s">
        <v>56</v>
      </c>
      <c r="D7" s="10">
        <v>0.45</v>
      </c>
      <c r="E7" s="10">
        <v>0.4</v>
      </c>
      <c r="F7" s="10">
        <v>0.35</v>
      </c>
    </row>
    <row r="8" spans="1:6" x14ac:dyDescent="0.35">
      <c r="A8" s="13">
        <v>6</v>
      </c>
      <c r="B8" s="7" t="s">
        <v>43</v>
      </c>
      <c r="C8" s="7" t="s">
        <v>57</v>
      </c>
      <c r="D8" s="10">
        <v>0.4</v>
      </c>
      <c r="E8" s="10">
        <v>0.45</v>
      </c>
      <c r="F8" s="10">
        <v>0.5</v>
      </c>
    </row>
    <row r="9" spans="1:6" x14ac:dyDescent="0.35">
      <c r="A9" s="13">
        <v>7</v>
      </c>
      <c r="B9" s="7" t="s">
        <v>44</v>
      </c>
      <c r="C9" s="7" t="s">
        <v>58</v>
      </c>
      <c r="D9" s="10">
        <v>0.4</v>
      </c>
      <c r="E9" s="10">
        <v>0.4</v>
      </c>
      <c r="F9" s="10">
        <v>0.4</v>
      </c>
    </row>
    <row r="10" spans="1:6" x14ac:dyDescent="0.35">
      <c r="A10" s="13">
        <v>8</v>
      </c>
      <c r="B10" s="7" t="s">
        <v>45</v>
      </c>
      <c r="C10" s="7" t="s">
        <v>59</v>
      </c>
      <c r="D10" s="10">
        <v>0.45</v>
      </c>
      <c r="E10" s="10">
        <v>0.4</v>
      </c>
      <c r="F10" s="10">
        <v>0.45</v>
      </c>
    </row>
    <row r="11" spans="1:6" x14ac:dyDescent="0.35">
      <c r="A11" s="13">
        <v>9</v>
      </c>
      <c r="B11" s="7" t="s">
        <v>46</v>
      </c>
      <c r="C11" s="7" t="s">
        <v>60</v>
      </c>
      <c r="D11" s="10">
        <v>0.45</v>
      </c>
      <c r="E11" s="10">
        <v>0.4</v>
      </c>
      <c r="F11" s="10">
        <v>0.4</v>
      </c>
    </row>
    <row r="12" spans="1:6" x14ac:dyDescent="0.35">
      <c r="A12" s="13">
        <v>10</v>
      </c>
      <c r="B12" s="7" t="s">
        <v>47</v>
      </c>
      <c r="C12" s="7" t="s">
        <v>61</v>
      </c>
      <c r="D12" s="10">
        <v>0.3</v>
      </c>
      <c r="E12" s="10">
        <v>0.5</v>
      </c>
      <c r="F12" s="10">
        <v>0.45</v>
      </c>
    </row>
    <row r="13" spans="1:6" x14ac:dyDescent="0.35">
      <c r="A13" s="13">
        <v>11</v>
      </c>
      <c r="B13" s="7" t="s">
        <v>48</v>
      </c>
      <c r="C13" s="7" t="s">
        <v>62</v>
      </c>
      <c r="D13" s="10">
        <v>0.4</v>
      </c>
      <c r="E13" s="10">
        <v>0.45</v>
      </c>
      <c r="F13" s="10">
        <v>0.4</v>
      </c>
    </row>
    <row r="14" spans="1:6" x14ac:dyDescent="0.35">
      <c r="A14" s="13">
        <v>12</v>
      </c>
      <c r="B14" s="7" t="s">
        <v>49</v>
      </c>
      <c r="C14" s="7" t="s">
        <v>63</v>
      </c>
      <c r="D14" s="10">
        <v>0.5</v>
      </c>
      <c r="E14" s="10">
        <v>0.5</v>
      </c>
      <c r="F14" s="10">
        <v>0.45</v>
      </c>
    </row>
    <row r="15" spans="1:6" x14ac:dyDescent="0.35">
      <c r="A15" s="13">
        <v>13</v>
      </c>
      <c r="B15" s="7" t="s">
        <v>50</v>
      </c>
      <c r="C15" s="7" t="s">
        <v>64</v>
      </c>
      <c r="D15" s="10">
        <v>0.4</v>
      </c>
      <c r="E15" s="10">
        <v>0.4</v>
      </c>
      <c r="F15" s="10">
        <v>0.35</v>
      </c>
    </row>
    <row r="16" spans="1:6" x14ac:dyDescent="0.35">
      <c r="A16" s="13">
        <v>14</v>
      </c>
      <c r="B16" s="7" t="s">
        <v>51</v>
      </c>
      <c r="C16" s="7" t="s">
        <v>65</v>
      </c>
      <c r="D16" s="10">
        <v>0.35</v>
      </c>
      <c r="E16" s="10">
        <v>0.4</v>
      </c>
      <c r="F16" s="10">
        <v>0</v>
      </c>
    </row>
    <row r="17" spans="4:6" x14ac:dyDescent="0.35">
      <c r="D17" s="2"/>
      <c r="E17" s="2"/>
      <c r="F17" s="2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D3" sqref="D3:D16"/>
    </sheetView>
  </sheetViews>
  <sheetFormatPr defaultRowHeight="14.5" x14ac:dyDescent="0.35"/>
  <cols>
    <col min="2" max="2" width="10.7265625" customWidth="1"/>
    <col min="3" max="3" width="19.1796875" customWidth="1"/>
    <col min="4" max="4" width="14.26953125" customWidth="1"/>
  </cols>
  <sheetData>
    <row r="1" spans="1:4" x14ac:dyDescent="0.35">
      <c r="A1" s="34" t="s">
        <v>66</v>
      </c>
      <c r="B1" s="35"/>
      <c r="C1" s="35"/>
      <c r="D1" s="35"/>
    </row>
    <row r="2" spans="1:4" x14ac:dyDescent="0.35">
      <c r="A2" s="14" t="s">
        <v>11</v>
      </c>
      <c r="B2" s="14" t="s">
        <v>12</v>
      </c>
      <c r="C2" s="14" t="s">
        <v>13</v>
      </c>
      <c r="D2" s="15" t="s">
        <v>67</v>
      </c>
    </row>
    <row r="3" spans="1:4" x14ac:dyDescent="0.35">
      <c r="A3" s="1">
        <v>1</v>
      </c>
      <c r="B3" s="10" t="s">
        <v>38</v>
      </c>
      <c r="C3" s="9" t="s">
        <v>52</v>
      </c>
      <c r="D3" s="16">
        <v>0.5</v>
      </c>
    </row>
    <row r="4" spans="1:4" x14ac:dyDescent="0.35">
      <c r="A4" s="1">
        <v>2</v>
      </c>
      <c r="B4" s="10" t="s">
        <v>39</v>
      </c>
      <c r="C4" s="9" t="s">
        <v>53</v>
      </c>
      <c r="D4" s="10">
        <v>1</v>
      </c>
    </row>
    <row r="5" spans="1:4" x14ac:dyDescent="0.35">
      <c r="A5" s="1">
        <v>3</v>
      </c>
      <c r="B5" s="10" t="s">
        <v>40</v>
      </c>
      <c r="C5" s="9" t="s">
        <v>54</v>
      </c>
      <c r="D5" s="10">
        <v>0.5</v>
      </c>
    </row>
    <row r="6" spans="1:4" x14ac:dyDescent="0.35">
      <c r="A6" s="1">
        <v>4</v>
      </c>
      <c r="B6" s="10" t="s">
        <v>41</v>
      </c>
      <c r="C6" s="9" t="s">
        <v>55</v>
      </c>
      <c r="D6" s="10">
        <v>1</v>
      </c>
    </row>
    <row r="7" spans="1:4" x14ac:dyDescent="0.35">
      <c r="A7" s="1">
        <v>5</v>
      </c>
      <c r="B7" s="10" t="s">
        <v>42</v>
      </c>
      <c r="C7" s="9" t="s">
        <v>56</v>
      </c>
      <c r="D7" s="10">
        <v>0.75</v>
      </c>
    </row>
    <row r="8" spans="1:4" x14ac:dyDescent="0.35">
      <c r="A8" s="1">
        <v>6</v>
      </c>
      <c r="B8" s="10" t="s">
        <v>43</v>
      </c>
      <c r="C8" s="9" t="s">
        <v>57</v>
      </c>
      <c r="D8" s="10">
        <v>1.2</v>
      </c>
    </row>
    <row r="9" spans="1:4" x14ac:dyDescent="0.35">
      <c r="A9" s="1">
        <v>7</v>
      </c>
      <c r="B9" s="10" t="s">
        <v>44</v>
      </c>
      <c r="C9" s="9" t="s">
        <v>58</v>
      </c>
      <c r="D9" s="10">
        <v>1</v>
      </c>
    </row>
    <row r="10" spans="1:4" x14ac:dyDescent="0.35">
      <c r="A10" s="1">
        <v>8</v>
      </c>
      <c r="B10" s="10" t="s">
        <v>45</v>
      </c>
      <c r="C10" s="9" t="s">
        <v>59</v>
      </c>
      <c r="D10" s="10">
        <v>0</v>
      </c>
    </row>
    <row r="11" spans="1:4" x14ac:dyDescent="0.35">
      <c r="A11" s="1">
        <v>9</v>
      </c>
      <c r="B11" s="10" t="s">
        <v>46</v>
      </c>
      <c r="C11" s="9" t="s">
        <v>60</v>
      </c>
      <c r="D11" s="10">
        <v>0.75</v>
      </c>
    </row>
    <row r="12" spans="1:4" x14ac:dyDescent="0.35">
      <c r="A12" s="1">
        <v>10</v>
      </c>
      <c r="B12" s="10" t="s">
        <v>47</v>
      </c>
      <c r="C12" s="9" t="s">
        <v>61</v>
      </c>
      <c r="D12" s="10">
        <v>0.3</v>
      </c>
    </row>
    <row r="13" spans="1:4" x14ac:dyDescent="0.35">
      <c r="A13" s="1">
        <v>11</v>
      </c>
      <c r="B13" s="10" t="s">
        <v>48</v>
      </c>
      <c r="C13" s="9" t="s">
        <v>62</v>
      </c>
      <c r="D13" s="10">
        <v>0.3</v>
      </c>
    </row>
    <row r="14" spans="1:4" x14ac:dyDescent="0.35">
      <c r="A14" s="1">
        <v>12</v>
      </c>
      <c r="B14" s="10" t="s">
        <v>49</v>
      </c>
      <c r="C14" s="9" t="s">
        <v>63</v>
      </c>
      <c r="D14" s="10">
        <v>1.5</v>
      </c>
    </row>
    <row r="15" spans="1:4" x14ac:dyDescent="0.35">
      <c r="A15" s="1">
        <v>13</v>
      </c>
      <c r="B15" s="10" t="s">
        <v>50</v>
      </c>
      <c r="C15" s="9" t="s">
        <v>64</v>
      </c>
      <c r="D15" s="10">
        <v>1.35</v>
      </c>
    </row>
    <row r="16" spans="1:4" x14ac:dyDescent="0.35">
      <c r="A16" s="1">
        <v>14</v>
      </c>
      <c r="B16" s="10" t="s">
        <v>51</v>
      </c>
      <c r="C16" s="9" t="s">
        <v>65</v>
      </c>
      <c r="D16" s="10">
        <v>0.85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selection activeCell="D3" sqref="D3:D16"/>
    </sheetView>
  </sheetViews>
  <sheetFormatPr defaultRowHeight="14.5" x14ac:dyDescent="0.35"/>
  <cols>
    <col min="2" max="2" width="10.26953125" customWidth="1"/>
    <col min="3" max="3" width="21.26953125" customWidth="1"/>
    <col min="4" max="4" width="15.1796875" customWidth="1"/>
  </cols>
  <sheetData>
    <row r="1" spans="1:4" x14ac:dyDescent="0.35">
      <c r="A1" s="34" t="s">
        <v>66</v>
      </c>
      <c r="B1" s="35"/>
      <c r="C1" s="35"/>
      <c r="D1" s="35"/>
    </row>
    <row r="2" spans="1:4" x14ac:dyDescent="0.35">
      <c r="A2" s="14" t="s">
        <v>11</v>
      </c>
      <c r="B2" s="14" t="s">
        <v>12</v>
      </c>
      <c r="C2" s="14" t="s">
        <v>13</v>
      </c>
      <c r="D2" s="15" t="s">
        <v>68</v>
      </c>
    </row>
    <row r="3" spans="1:4" x14ac:dyDescent="0.35">
      <c r="A3" s="1">
        <v>1</v>
      </c>
      <c r="B3" s="7" t="s">
        <v>38</v>
      </c>
      <c r="C3" s="7" t="s">
        <v>52</v>
      </c>
      <c r="D3" s="16">
        <v>4.2</v>
      </c>
    </row>
    <row r="4" spans="1:4" x14ac:dyDescent="0.35">
      <c r="A4" s="1">
        <v>2</v>
      </c>
      <c r="B4" s="7" t="s">
        <v>39</v>
      </c>
      <c r="C4" s="7" t="s">
        <v>53</v>
      </c>
      <c r="D4" s="10">
        <v>5.8</v>
      </c>
    </row>
    <row r="5" spans="1:4" x14ac:dyDescent="0.35">
      <c r="A5" s="1">
        <v>3</v>
      </c>
      <c r="B5" s="7" t="s">
        <v>40</v>
      </c>
      <c r="C5" s="7" t="s">
        <v>54</v>
      </c>
      <c r="D5" s="10">
        <v>5.8</v>
      </c>
    </row>
    <row r="6" spans="1:4" x14ac:dyDescent="0.35">
      <c r="A6" s="1">
        <v>4</v>
      </c>
      <c r="B6" s="7" t="s">
        <v>41</v>
      </c>
      <c r="C6" s="7" t="s">
        <v>55</v>
      </c>
      <c r="D6" s="10">
        <v>4.5</v>
      </c>
    </row>
    <row r="7" spans="1:4" x14ac:dyDescent="0.35">
      <c r="A7" s="1">
        <v>5</v>
      </c>
      <c r="B7" s="7" t="s">
        <v>42</v>
      </c>
      <c r="C7" s="7" t="s">
        <v>56</v>
      </c>
      <c r="D7" s="10">
        <v>5.5</v>
      </c>
    </row>
    <row r="8" spans="1:4" x14ac:dyDescent="0.35">
      <c r="A8" s="1">
        <v>6</v>
      </c>
      <c r="B8" s="7" t="s">
        <v>43</v>
      </c>
      <c r="C8" s="7" t="s">
        <v>57</v>
      </c>
      <c r="D8" s="10">
        <v>7.5</v>
      </c>
    </row>
    <row r="9" spans="1:4" x14ac:dyDescent="0.35">
      <c r="A9" s="1">
        <v>7</v>
      </c>
      <c r="B9" s="7" t="s">
        <v>44</v>
      </c>
      <c r="C9" s="7" t="s">
        <v>58</v>
      </c>
      <c r="D9" s="10">
        <v>5.3</v>
      </c>
    </row>
    <row r="10" spans="1:4" x14ac:dyDescent="0.35">
      <c r="A10" s="1">
        <v>8</v>
      </c>
      <c r="B10" s="7" t="s">
        <v>45</v>
      </c>
      <c r="C10" s="7" t="s">
        <v>59</v>
      </c>
      <c r="D10" s="10">
        <v>6.8</v>
      </c>
    </row>
    <row r="11" spans="1:4" x14ac:dyDescent="0.35">
      <c r="A11" s="1">
        <v>9</v>
      </c>
      <c r="B11" s="7" t="s">
        <v>46</v>
      </c>
      <c r="C11" s="7" t="s">
        <v>60</v>
      </c>
      <c r="D11" s="10">
        <v>6.3</v>
      </c>
    </row>
    <row r="12" spans="1:4" x14ac:dyDescent="0.35">
      <c r="A12" s="1">
        <v>10</v>
      </c>
      <c r="B12" s="7" t="s">
        <v>47</v>
      </c>
      <c r="C12" s="7" t="s">
        <v>61</v>
      </c>
      <c r="D12" s="10">
        <v>8.3000000000000007</v>
      </c>
    </row>
    <row r="13" spans="1:4" x14ac:dyDescent="0.35">
      <c r="A13" s="1">
        <v>11</v>
      </c>
      <c r="B13" s="7" t="s">
        <v>48</v>
      </c>
      <c r="C13" s="7" t="s">
        <v>62</v>
      </c>
      <c r="D13" s="10">
        <v>-3</v>
      </c>
    </row>
    <row r="14" spans="1:4" x14ac:dyDescent="0.35">
      <c r="A14" s="1">
        <v>12</v>
      </c>
      <c r="B14" s="7" t="s">
        <v>49</v>
      </c>
      <c r="C14" s="7" t="s">
        <v>63</v>
      </c>
      <c r="D14" s="10">
        <v>7</v>
      </c>
    </row>
    <row r="15" spans="1:4" x14ac:dyDescent="0.35">
      <c r="A15" s="1">
        <v>13</v>
      </c>
      <c r="B15" s="7" t="s">
        <v>50</v>
      </c>
      <c r="C15" s="7" t="s">
        <v>64</v>
      </c>
      <c r="D15" s="10">
        <v>-3</v>
      </c>
    </row>
    <row r="16" spans="1:4" x14ac:dyDescent="0.35">
      <c r="A16" s="1">
        <v>14</v>
      </c>
      <c r="B16" s="7" t="s">
        <v>51</v>
      </c>
      <c r="C16" s="7" t="s">
        <v>65</v>
      </c>
      <c r="D16" s="10">
        <v>6.5</v>
      </c>
    </row>
    <row r="17" spans="4:4" x14ac:dyDescent="0.35">
      <c r="D17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6"/>
  <sheetViews>
    <sheetView topLeftCell="D1" workbookViewId="0">
      <selection activeCell="P17" sqref="P17:P21"/>
    </sheetView>
  </sheetViews>
  <sheetFormatPr defaultRowHeight="14.5" x14ac:dyDescent="0.35"/>
  <cols>
    <col min="1" max="1" width="21.81640625" customWidth="1"/>
    <col min="2" max="2" width="10" customWidth="1"/>
    <col min="3" max="3" width="21.26953125" customWidth="1"/>
    <col min="4" max="4" width="6.26953125" customWidth="1"/>
    <col min="5" max="5" width="12.26953125" customWidth="1"/>
    <col min="6" max="6" width="9.7265625" customWidth="1"/>
    <col min="12" max="12" width="10" customWidth="1"/>
    <col min="13" max="13" width="17.26953125" customWidth="1"/>
    <col min="14" max="14" width="5.7265625" customWidth="1"/>
    <col min="15" max="15" width="19.7265625" customWidth="1"/>
    <col min="16" max="16" width="15.7265625" customWidth="1"/>
    <col min="17" max="17" width="11.54296875" customWidth="1"/>
  </cols>
  <sheetData>
    <row r="1" spans="1:16" x14ac:dyDescent="0.35">
      <c r="A1" s="28" t="s">
        <v>69</v>
      </c>
      <c r="B1" s="28"/>
      <c r="C1" s="28"/>
      <c r="D1" s="17"/>
      <c r="E1" s="28" t="s">
        <v>72</v>
      </c>
      <c r="F1" s="28"/>
      <c r="K1" s="29" t="s">
        <v>85</v>
      </c>
      <c r="L1" s="29"/>
      <c r="M1" s="29"/>
      <c r="N1" s="7"/>
      <c r="O1" s="29" t="s">
        <v>86</v>
      </c>
      <c r="P1" s="29"/>
    </row>
    <row r="2" spans="1:16" x14ac:dyDescent="0.35">
      <c r="A2" s="18" t="s">
        <v>70</v>
      </c>
      <c r="B2" s="18" t="s">
        <v>21</v>
      </c>
      <c r="C2" s="18" t="s">
        <v>71</v>
      </c>
      <c r="D2" s="17"/>
      <c r="E2" s="18" t="s">
        <v>73</v>
      </c>
      <c r="F2" s="18" t="s">
        <v>74</v>
      </c>
      <c r="K2" s="20" t="s">
        <v>11</v>
      </c>
      <c r="L2" s="11" t="s">
        <v>12</v>
      </c>
      <c r="M2" s="11" t="s">
        <v>13</v>
      </c>
      <c r="N2" s="7"/>
      <c r="O2" s="12" t="s">
        <v>21</v>
      </c>
      <c r="P2" s="12" t="s">
        <v>87</v>
      </c>
    </row>
    <row r="3" spans="1:16" x14ac:dyDescent="0.35">
      <c r="A3" s="7">
        <v>0</v>
      </c>
      <c r="B3" s="19" t="s">
        <v>75</v>
      </c>
      <c r="C3" s="7">
        <v>0</v>
      </c>
      <c r="D3" s="7"/>
      <c r="E3" s="7">
        <v>0</v>
      </c>
      <c r="F3" s="7">
        <v>1</v>
      </c>
      <c r="K3" s="10">
        <v>1</v>
      </c>
      <c r="L3" s="7" t="s">
        <v>41</v>
      </c>
      <c r="M3" s="7" t="s">
        <v>55</v>
      </c>
      <c r="N3" s="7"/>
      <c r="O3" s="13" t="s">
        <v>82</v>
      </c>
      <c r="P3" s="13">
        <v>0</v>
      </c>
    </row>
    <row r="4" spans="1:16" x14ac:dyDescent="0.35">
      <c r="A4" s="7">
        <v>4</v>
      </c>
      <c r="B4" s="19" t="s">
        <v>76</v>
      </c>
      <c r="C4" s="7">
        <v>1</v>
      </c>
      <c r="D4" s="7"/>
      <c r="E4" s="7">
        <v>1</v>
      </c>
      <c r="F4" s="7">
        <v>0.5</v>
      </c>
      <c r="K4" s="10">
        <v>2</v>
      </c>
      <c r="L4" s="7" t="s">
        <v>45</v>
      </c>
      <c r="M4" s="7" t="s">
        <v>59</v>
      </c>
      <c r="N4" s="7"/>
      <c r="O4" s="13" t="s">
        <v>81</v>
      </c>
      <c r="P4" s="13">
        <v>1</v>
      </c>
    </row>
    <row r="5" spans="1:16" x14ac:dyDescent="0.35">
      <c r="A5" s="7">
        <v>5</v>
      </c>
      <c r="B5" s="19" t="s">
        <v>77</v>
      </c>
      <c r="C5" s="7">
        <v>1.5</v>
      </c>
      <c r="D5" s="7"/>
      <c r="E5" s="7">
        <v>2</v>
      </c>
      <c r="F5" s="7">
        <v>0.25</v>
      </c>
      <c r="K5" s="10">
        <v>3</v>
      </c>
      <c r="L5" s="7" t="s">
        <v>46</v>
      </c>
      <c r="M5" s="7" t="s">
        <v>60</v>
      </c>
      <c r="N5" s="7"/>
      <c r="O5" s="13" t="s">
        <v>81</v>
      </c>
      <c r="P5" s="13">
        <v>2</v>
      </c>
    </row>
    <row r="6" spans="1:16" x14ac:dyDescent="0.35">
      <c r="A6" s="7">
        <v>5.5</v>
      </c>
      <c r="B6" s="19" t="s">
        <v>78</v>
      </c>
      <c r="C6" s="7">
        <v>2</v>
      </c>
      <c r="D6" s="7"/>
      <c r="E6" s="7"/>
      <c r="F6" s="7"/>
      <c r="K6" s="10">
        <v>4</v>
      </c>
      <c r="L6" s="7" t="s">
        <v>44</v>
      </c>
      <c r="M6" s="7" t="s">
        <v>58</v>
      </c>
      <c r="N6" s="7"/>
      <c r="O6" s="13" t="s">
        <v>79</v>
      </c>
      <c r="P6" s="13">
        <v>2</v>
      </c>
    </row>
    <row r="7" spans="1:16" x14ac:dyDescent="0.35">
      <c r="A7" s="7">
        <v>6.5</v>
      </c>
      <c r="B7" s="19" t="s">
        <v>79</v>
      </c>
      <c r="C7" s="7">
        <v>2.5</v>
      </c>
      <c r="D7" s="7"/>
      <c r="E7" s="7"/>
      <c r="F7" s="7"/>
      <c r="K7" s="10">
        <v>5</v>
      </c>
      <c r="L7" s="7" t="s">
        <v>42</v>
      </c>
      <c r="M7" s="7" t="s">
        <v>56</v>
      </c>
      <c r="N7" s="7"/>
      <c r="O7" s="13" t="s">
        <v>78</v>
      </c>
      <c r="P7" s="13">
        <v>5</v>
      </c>
    </row>
    <row r="8" spans="1:16" x14ac:dyDescent="0.35">
      <c r="A8" s="7">
        <v>7</v>
      </c>
      <c r="B8" s="19" t="s">
        <v>80</v>
      </c>
      <c r="C8" s="7">
        <v>3</v>
      </c>
      <c r="D8" s="7"/>
      <c r="E8" s="7"/>
      <c r="F8" s="7"/>
      <c r="K8" s="10">
        <v>6</v>
      </c>
      <c r="L8" s="7" t="s">
        <v>39</v>
      </c>
      <c r="M8" s="7" t="s">
        <v>53</v>
      </c>
      <c r="N8" s="7"/>
      <c r="O8" s="13" t="s">
        <v>77</v>
      </c>
      <c r="P8" s="13">
        <v>1</v>
      </c>
    </row>
    <row r="9" spans="1:16" x14ac:dyDescent="0.35">
      <c r="A9" s="7">
        <v>8</v>
      </c>
      <c r="B9" s="19" t="s">
        <v>81</v>
      </c>
      <c r="C9" s="7">
        <v>3.5</v>
      </c>
      <c r="D9" s="7"/>
      <c r="E9" s="7"/>
      <c r="F9" s="7"/>
      <c r="K9" s="10">
        <v>7</v>
      </c>
      <c r="L9" s="7" t="s">
        <v>48</v>
      </c>
      <c r="M9" s="7" t="s">
        <v>62</v>
      </c>
      <c r="N9" s="7"/>
      <c r="O9" s="13" t="s">
        <v>76</v>
      </c>
      <c r="P9" s="13">
        <v>0</v>
      </c>
    </row>
    <row r="10" spans="1:16" x14ac:dyDescent="0.35">
      <c r="A10" s="7">
        <v>9</v>
      </c>
      <c r="B10" s="19" t="s">
        <v>82</v>
      </c>
      <c r="C10" s="7">
        <v>4</v>
      </c>
      <c r="D10" s="7"/>
      <c r="E10" s="7"/>
      <c r="F10" s="7"/>
      <c r="K10" s="10">
        <v>8</v>
      </c>
      <c r="L10" s="7" t="s">
        <v>51</v>
      </c>
      <c r="M10" s="7" t="s">
        <v>65</v>
      </c>
      <c r="N10" s="7"/>
      <c r="O10" s="13" t="s">
        <v>75</v>
      </c>
      <c r="P10" s="13">
        <v>3</v>
      </c>
    </row>
    <row r="11" spans="1:16" x14ac:dyDescent="0.35">
      <c r="K11" s="10">
        <v>9</v>
      </c>
      <c r="L11" s="7" t="s">
        <v>49</v>
      </c>
      <c r="M11" s="7" t="s">
        <v>63</v>
      </c>
      <c r="N11" s="7"/>
      <c r="O11" s="7"/>
      <c r="P11" s="7"/>
    </row>
    <row r="12" spans="1:16" x14ac:dyDescent="0.35">
      <c r="K12" s="10">
        <v>10</v>
      </c>
      <c r="L12" s="7" t="s">
        <v>40</v>
      </c>
      <c r="M12" s="7" t="s">
        <v>54</v>
      </c>
      <c r="N12" s="7"/>
      <c r="O12" s="29" t="s">
        <v>88</v>
      </c>
      <c r="P12" s="29"/>
    </row>
    <row r="13" spans="1:16" x14ac:dyDescent="0.35">
      <c r="K13" s="10">
        <v>11</v>
      </c>
      <c r="L13" s="7" t="s">
        <v>47</v>
      </c>
      <c r="M13" s="7" t="s">
        <v>61</v>
      </c>
      <c r="N13" s="7"/>
      <c r="O13" s="22" t="s">
        <v>89</v>
      </c>
      <c r="P13" s="24">
        <f>DCOUNTA('Tổng hợp điểm'!$A$6:$K$20, "Mã SV", Q24:R26)</f>
        <v>3</v>
      </c>
    </row>
    <row r="14" spans="1:16" x14ac:dyDescent="0.35">
      <c r="K14" s="10">
        <v>12</v>
      </c>
      <c r="L14" s="7" t="s">
        <v>38</v>
      </c>
      <c r="M14" s="7" t="s">
        <v>52</v>
      </c>
      <c r="N14" s="7"/>
      <c r="O14" s="23"/>
      <c r="P14" s="24"/>
    </row>
    <row r="15" spans="1:16" x14ac:dyDescent="0.35">
      <c r="K15" s="10">
        <v>13</v>
      </c>
      <c r="L15" s="7" t="s">
        <v>43</v>
      </c>
      <c r="M15" s="7" t="s">
        <v>57</v>
      </c>
      <c r="N15" s="7"/>
      <c r="O15" s="23"/>
      <c r="P15" s="24"/>
    </row>
    <row r="16" spans="1:16" x14ac:dyDescent="0.35">
      <c r="K16" s="10">
        <v>14</v>
      </c>
      <c r="L16" s="7" t="s">
        <v>50</v>
      </c>
      <c r="M16" s="7" t="s">
        <v>64</v>
      </c>
      <c r="N16" s="7"/>
      <c r="O16" s="11" t="s">
        <v>90</v>
      </c>
      <c r="P16" s="20">
        <f>DCOUNTA('Tổng hợp điểm'!$A$6:$K$20, "Mã SV",O24:O25)</f>
        <v>2</v>
      </c>
    </row>
    <row r="17" spans="11:18" ht="14.5" customHeight="1" x14ac:dyDescent="0.35">
      <c r="K17" s="7"/>
      <c r="L17" s="7"/>
      <c r="M17" s="7"/>
      <c r="N17" s="7"/>
      <c r="O17" s="22" t="s">
        <v>91</v>
      </c>
      <c r="P17" s="25">
        <f>DCOUNT('Tổng hợp điểm'!A6:K20,'Tổng hợp điểm'!J6,'Các bảng tham chiếu &amp; thống kê'!M24:M25)</f>
        <v>1</v>
      </c>
    </row>
    <row r="18" spans="11:18" x14ac:dyDescent="0.35">
      <c r="K18" s="7"/>
      <c r="L18" s="7"/>
      <c r="M18" s="7"/>
      <c r="N18" s="7"/>
      <c r="O18" s="22"/>
      <c r="P18" s="26"/>
    </row>
    <row r="19" spans="11:18" x14ac:dyDescent="0.35">
      <c r="K19" s="7"/>
      <c r="L19" s="7"/>
      <c r="M19" s="7"/>
      <c r="N19" s="7"/>
      <c r="O19" s="22"/>
      <c r="P19" s="26"/>
    </row>
    <row r="20" spans="11:18" x14ac:dyDescent="0.35">
      <c r="K20" s="7"/>
      <c r="L20" s="7"/>
      <c r="M20" s="7"/>
      <c r="N20" s="7"/>
      <c r="O20" s="22"/>
      <c r="P20" s="26"/>
    </row>
    <row r="21" spans="11:18" x14ac:dyDescent="0.35">
      <c r="K21" s="7"/>
      <c r="L21" s="7"/>
      <c r="M21" s="7"/>
      <c r="N21" s="7"/>
      <c r="O21" s="22"/>
      <c r="P21" s="27"/>
    </row>
    <row r="24" spans="11:18" x14ac:dyDescent="0.35">
      <c r="M24" s="21" t="s">
        <v>92</v>
      </c>
      <c r="O24" s="21" t="s">
        <v>93</v>
      </c>
      <c r="Q24" s="21" t="s">
        <v>17</v>
      </c>
      <c r="R24" s="21" t="s">
        <v>18</v>
      </c>
    </row>
    <row r="25" spans="11:18" x14ac:dyDescent="0.35">
      <c r="M25" s="21" t="b">
        <f>AND(J7&gt;=7, OR(K7="B+", K7="A"))</f>
        <v>0</v>
      </c>
      <c r="O25" s="21" t="b">
        <f>VALUE(LEFT('Tổng hợp điểm'!B7, 1)) &gt; 2</f>
        <v>0</v>
      </c>
      <c r="Q25" s="21">
        <v>0</v>
      </c>
      <c r="R25" s="21"/>
    </row>
    <row r="26" spans="11:18" x14ac:dyDescent="0.35">
      <c r="Q26" s="21"/>
      <c r="R26" s="21">
        <v>-3</v>
      </c>
    </row>
  </sheetData>
  <mergeCells count="9">
    <mergeCell ref="O13:O15"/>
    <mergeCell ref="P13:P15"/>
    <mergeCell ref="O17:O21"/>
    <mergeCell ref="P17:P21"/>
    <mergeCell ref="A1:C1"/>
    <mergeCell ref="E1:F1"/>
    <mergeCell ref="K1:M1"/>
    <mergeCell ref="O1:P1"/>
    <mergeCell ref="O12:P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workbookViewId="0">
      <selection activeCell="I18" sqref="I18"/>
    </sheetView>
  </sheetViews>
  <sheetFormatPr defaultRowHeight="14.5" x14ac:dyDescent="0.35"/>
  <cols>
    <col min="3" max="3" width="18.54296875" customWidth="1"/>
  </cols>
  <sheetData>
    <row r="1" spans="1:11" ht="58" x14ac:dyDescent="0.35">
      <c r="A1" s="4" t="s">
        <v>36</v>
      </c>
      <c r="B1" s="5" t="s">
        <v>12</v>
      </c>
      <c r="C1" s="5" t="s">
        <v>13</v>
      </c>
      <c r="D1" s="5" t="s">
        <v>15</v>
      </c>
      <c r="E1" s="5" t="s">
        <v>14</v>
      </c>
      <c r="F1" s="5" t="s">
        <v>16</v>
      </c>
      <c r="G1" s="5" t="s">
        <v>17</v>
      </c>
      <c r="H1" s="5" t="s">
        <v>18</v>
      </c>
      <c r="I1" s="4" t="s">
        <v>19</v>
      </c>
      <c r="J1" s="4" t="s">
        <v>20</v>
      </c>
      <c r="K1" s="4" t="s">
        <v>21</v>
      </c>
    </row>
    <row r="2" spans="1:11" x14ac:dyDescent="0.35">
      <c r="A2" s="7">
        <v>1</v>
      </c>
      <c r="B2" s="7" t="s">
        <v>22</v>
      </c>
      <c r="C2" s="7" t="s">
        <v>52</v>
      </c>
      <c r="D2" s="10">
        <v>0.45</v>
      </c>
      <c r="E2" s="10">
        <v>0.25</v>
      </c>
      <c r="F2" s="10">
        <v>0.3</v>
      </c>
      <c r="G2" s="16">
        <v>0.5</v>
      </c>
      <c r="H2" s="16">
        <v>4.2</v>
      </c>
      <c r="I2" s="7">
        <v>4.0199999999999996</v>
      </c>
      <c r="J2" s="6">
        <v>5.0199999999999996</v>
      </c>
      <c r="K2" s="6" t="s">
        <v>77</v>
      </c>
    </row>
    <row r="3" spans="1:11" x14ac:dyDescent="0.35">
      <c r="A3" s="7">
        <v>2</v>
      </c>
      <c r="B3" s="7" t="s">
        <v>23</v>
      </c>
      <c r="C3" s="7" t="s">
        <v>53</v>
      </c>
      <c r="D3" s="10">
        <v>0.5</v>
      </c>
      <c r="E3" s="10">
        <v>0.35</v>
      </c>
      <c r="F3" s="10">
        <v>0.4</v>
      </c>
      <c r="G3" s="16">
        <v>1</v>
      </c>
      <c r="H3" s="16">
        <v>5.8</v>
      </c>
      <c r="I3" s="7">
        <v>5.73</v>
      </c>
      <c r="J3" s="6">
        <v>6.23</v>
      </c>
      <c r="K3" s="6" t="s">
        <v>78</v>
      </c>
    </row>
    <row r="4" spans="1:11" x14ac:dyDescent="0.35">
      <c r="A4" s="7">
        <v>3</v>
      </c>
      <c r="B4" s="7" t="s">
        <v>24</v>
      </c>
      <c r="C4" s="7" t="s">
        <v>54</v>
      </c>
      <c r="D4" s="10">
        <v>0.25</v>
      </c>
      <c r="E4" s="10">
        <v>0.25</v>
      </c>
      <c r="F4" s="10">
        <v>0.3</v>
      </c>
      <c r="G4" s="16">
        <v>0.5</v>
      </c>
      <c r="H4" s="16">
        <v>5.8</v>
      </c>
      <c r="I4" s="7">
        <v>4.78</v>
      </c>
      <c r="J4" s="6">
        <v>5.78</v>
      </c>
      <c r="K4" s="6" t="s">
        <v>78</v>
      </c>
    </row>
    <row r="5" spans="1:11" x14ac:dyDescent="0.35">
      <c r="A5" s="7">
        <v>4</v>
      </c>
      <c r="B5" s="7" t="s">
        <v>25</v>
      </c>
      <c r="C5" s="7" t="s">
        <v>55</v>
      </c>
      <c r="D5" s="10">
        <v>0.4</v>
      </c>
      <c r="E5" s="10">
        <v>0.25</v>
      </c>
      <c r="F5" s="10">
        <v>0.35</v>
      </c>
      <c r="G5" s="16">
        <v>1</v>
      </c>
      <c r="H5" s="16">
        <v>4.5</v>
      </c>
      <c r="I5" s="7">
        <v>4.6999999999999993</v>
      </c>
      <c r="J5" s="6">
        <v>5.6999999999999993</v>
      </c>
      <c r="K5" s="6" t="s">
        <v>78</v>
      </c>
    </row>
    <row r="6" spans="1:11" x14ac:dyDescent="0.35">
      <c r="A6" s="7">
        <v>5</v>
      </c>
      <c r="B6" s="7" t="s">
        <v>26</v>
      </c>
      <c r="C6" s="7" t="s">
        <v>56</v>
      </c>
      <c r="D6" s="10">
        <v>0.45</v>
      </c>
      <c r="E6" s="10">
        <v>0.4</v>
      </c>
      <c r="F6" s="10">
        <v>0.35</v>
      </c>
      <c r="G6" s="16">
        <v>0.75</v>
      </c>
      <c r="H6" s="16">
        <v>5.5</v>
      </c>
      <c r="I6" s="7">
        <v>5.25</v>
      </c>
      <c r="J6" s="6">
        <v>5.5</v>
      </c>
      <c r="K6" s="6" t="s">
        <v>78</v>
      </c>
    </row>
    <row r="7" spans="1:11" x14ac:dyDescent="0.35">
      <c r="A7" s="7">
        <v>7</v>
      </c>
      <c r="B7" s="7" t="s">
        <v>28</v>
      </c>
      <c r="C7" s="7" t="s">
        <v>58</v>
      </c>
      <c r="D7" s="10">
        <v>0.4</v>
      </c>
      <c r="E7" s="10">
        <v>0.4</v>
      </c>
      <c r="F7" s="10">
        <v>0.4</v>
      </c>
      <c r="G7" s="16">
        <v>1</v>
      </c>
      <c r="H7" s="16">
        <v>5.3</v>
      </c>
      <c r="I7" s="7">
        <v>5.38</v>
      </c>
      <c r="J7" s="6">
        <v>6.38</v>
      </c>
      <c r="K7" s="6" t="s">
        <v>78</v>
      </c>
    </row>
    <row r="8" spans="1:11" x14ac:dyDescent="0.35">
      <c r="A8" s="7">
        <v>8</v>
      </c>
      <c r="B8" s="7" t="s">
        <v>29</v>
      </c>
      <c r="C8" s="7" t="s">
        <v>59</v>
      </c>
      <c r="D8" s="10">
        <v>0.45</v>
      </c>
      <c r="E8" s="10">
        <v>0.4</v>
      </c>
      <c r="F8" s="10">
        <v>0.45</v>
      </c>
      <c r="G8" s="16">
        <v>0</v>
      </c>
      <c r="H8" s="16">
        <v>6.8</v>
      </c>
      <c r="I8" s="7">
        <v>5.38</v>
      </c>
      <c r="J8" s="6">
        <v>0</v>
      </c>
      <c r="K8" s="6" t="s">
        <v>75</v>
      </c>
    </row>
    <row r="9" spans="1:11" x14ac:dyDescent="0.35">
      <c r="A9" s="7">
        <v>9</v>
      </c>
      <c r="B9" s="7" t="s">
        <v>30</v>
      </c>
      <c r="C9" s="7" t="s">
        <v>60</v>
      </c>
      <c r="D9" s="10">
        <v>0.45</v>
      </c>
      <c r="E9" s="10">
        <v>0.4</v>
      </c>
      <c r="F9" s="10">
        <v>0.4</v>
      </c>
      <c r="G9" s="16">
        <v>0.75</v>
      </c>
      <c r="H9" s="16">
        <v>6.3</v>
      </c>
      <c r="I9" s="7">
        <v>5.7799999999999994</v>
      </c>
      <c r="J9" s="6">
        <v>6.7799999999999994</v>
      </c>
      <c r="K9" s="6" t="s">
        <v>79</v>
      </c>
    </row>
    <row r="10" spans="1:11" x14ac:dyDescent="0.35">
      <c r="A10" s="7">
        <v>11</v>
      </c>
      <c r="B10" s="7" t="s">
        <v>32</v>
      </c>
      <c r="C10" s="7" t="s">
        <v>62</v>
      </c>
      <c r="D10" s="10">
        <v>0.4</v>
      </c>
      <c r="E10" s="10">
        <v>0.45</v>
      </c>
      <c r="F10" s="10">
        <v>0.4</v>
      </c>
      <c r="G10" s="16">
        <v>0.3</v>
      </c>
      <c r="H10" s="16">
        <v>-3</v>
      </c>
      <c r="I10" s="7">
        <v>0</v>
      </c>
      <c r="J10" s="6">
        <v>0</v>
      </c>
      <c r="K10" s="6" t="s">
        <v>75</v>
      </c>
    </row>
    <row r="11" spans="1:11" x14ac:dyDescent="0.35">
      <c r="A11" s="7">
        <v>13</v>
      </c>
      <c r="B11" s="7" t="s">
        <v>34</v>
      </c>
      <c r="C11" s="7" t="s">
        <v>64</v>
      </c>
      <c r="D11" s="10">
        <v>0.4</v>
      </c>
      <c r="E11" s="10">
        <v>0.4</v>
      </c>
      <c r="F11" s="10">
        <v>0.35</v>
      </c>
      <c r="G11" s="16">
        <v>1.35</v>
      </c>
      <c r="H11" s="16">
        <v>-3</v>
      </c>
      <c r="I11" s="7">
        <v>0</v>
      </c>
      <c r="J11" s="6">
        <v>0</v>
      </c>
      <c r="K11" s="6" t="s">
        <v>75</v>
      </c>
    </row>
    <row r="12" spans="1:11" x14ac:dyDescent="0.35">
      <c r="A12" s="7">
        <v>14</v>
      </c>
      <c r="B12" s="7" t="s">
        <v>35</v>
      </c>
      <c r="C12" s="7" t="s">
        <v>65</v>
      </c>
      <c r="D12" s="10">
        <v>0.35</v>
      </c>
      <c r="E12" s="10">
        <v>0.4</v>
      </c>
      <c r="F12" s="10">
        <v>0</v>
      </c>
      <c r="G12" s="16">
        <v>0.85</v>
      </c>
      <c r="H12" s="16">
        <v>6.5</v>
      </c>
      <c r="I12" s="7">
        <v>5.5</v>
      </c>
      <c r="J12" s="6">
        <v>6.5</v>
      </c>
      <c r="K12" s="6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"/>
  <sheetViews>
    <sheetView workbookViewId="0">
      <selection activeCell="L16" sqref="L16"/>
    </sheetView>
  </sheetViews>
  <sheetFormatPr defaultRowHeight="14.5" x14ac:dyDescent="0.35"/>
  <cols>
    <col min="3" max="3" width="15.81640625" customWidth="1"/>
  </cols>
  <sheetData>
    <row r="1" spans="1:11" ht="58" x14ac:dyDescent="0.35">
      <c r="A1" s="4" t="s">
        <v>36</v>
      </c>
      <c r="B1" s="5" t="s">
        <v>12</v>
      </c>
      <c r="C1" s="5" t="s">
        <v>13</v>
      </c>
      <c r="D1" s="5" t="s">
        <v>15</v>
      </c>
      <c r="E1" s="5" t="s">
        <v>14</v>
      </c>
      <c r="F1" s="5" t="s">
        <v>16</v>
      </c>
      <c r="G1" s="5" t="s">
        <v>17</v>
      </c>
      <c r="H1" s="5" t="s">
        <v>18</v>
      </c>
      <c r="I1" s="4" t="s">
        <v>19</v>
      </c>
      <c r="J1" s="4" t="s">
        <v>20</v>
      </c>
      <c r="K1" s="4" t="s">
        <v>21</v>
      </c>
    </row>
    <row r="2" spans="1:11" x14ac:dyDescent="0.35">
      <c r="A2" s="7">
        <v>6</v>
      </c>
      <c r="B2" s="7" t="s">
        <v>27</v>
      </c>
      <c r="C2" s="7" t="s">
        <v>57</v>
      </c>
      <c r="D2" s="10">
        <v>0.4</v>
      </c>
      <c r="E2" s="10">
        <v>0.45</v>
      </c>
      <c r="F2" s="10">
        <v>0.5</v>
      </c>
      <c r="G2" s="16">
        <v>1.2</v>
      </c>
      <c r="H2" s="16">
        <v>7.5</v>
      </c>
      <c r="I2" s="7">
        <v>7.05</v>
      </c>
      <c r="J2" s="6">
        <v>8.0500000000000007</v>
      </c>
      <c r="K2" s="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Tổng hợp điểm</vt:lpstr>
      <vt:lpstr>Điểm thực hành các buổi</vt:lpstr>
      <vt:lpstr>Bài tập lớn</vt:lpstr>
      <vt:lpstr>Điểm lý thuyết</vt:lpstr>
      <vt:lpstr>Các bảng tham chiếu &amp; thống kê</vt:lpstr>
      <vt:lpstr>Sinh viên điểm &lt;7</vt:lpstr>
      <vt:lpstr>Sinh viên điểm &gt;=7</vt:lpstr>
      <vt:lpstr>'Sinh viên điểm &lt;7'!Extract</vt:lpstr>
      <vt:lpstr>'Sinh viên điểm &gt;=7'!Extract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Phú Quý Huỳnh</cp:lastModifiedBy>
  <dcterms:created xsi:type="dcterms:W3CDTF">2026-09-23T14:03:29Z</dcterms:created>
  <dcterms:modified xsi:type="dcterms:W3CDTF">2026-09-24T15:41:13Z</dcterms:modified>
</cp:coreProperties>
</file>